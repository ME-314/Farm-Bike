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lex/Desktop/"/>
    </mc:Choice>
  </mc:AlternateContent>
  <xr:revisionPtr revIDLastSave="0" documentId="8_{AD7930D4-5B9B-F64B-928B-F0D235761D7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urchases" sheetId="1" r:id="rId1"/>
    <sheet name="Dashboard" sheetId="2" r:id="rId2"/>
    <sheet name="Recovered_or_Excluded" sheetId="3" r:id="rId3"/>
    <sheet name="Sources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F9" i="3"/>
  <c r="F8" i="3"/>
  <c r="F7" i="3"/>
  <c r="F6" i="3"/>
  <c r="F5" i="3"/>
  <c r="F4" i="3"/>
  <c r="B10" i="2"/>
  <c r="F8" i="2"/>
  <c r="B9" i="2"/>
  <c r="E8" i="2" l="1"/>
  <c r="B4" i="2"/>
  <c r="B8" i="2"/>
  <c r="F4" i="2"/>
  <c r="F5" i="2"/>
  <c r="F6" i="2"/>
  <c r="F7" i="2"/>
  <c r="F10" i="2" s="1"/>
  <c r="E4" i="2"/>
  <c r="E10" i="2" s="1"/>
  <c r="E5" i="2"/>
  <c r="E7" i="2"/>
  <c r="E6" i="2"/>
  <c r="B5" i="2"/>
</calcChain>
</file>

<file path=xl/sharedStrings.xml><?xml version="1.0" encoding="utf-8"?>
<sst xmlns="http://schemas.openxmlformats.org/spreadsheetml/2006/main" count="138" uniqueCount="101">
  <si>
    <t>Farm-Bike Budget Sheet — Confirmed Purchases</t>
  </si>
  <si>
    <t>Date</t>
  </si>
  <si>
    <t>Supplier</t>
  </si>
  <si>
    <t>Invoice / Receipt</t>
  </si>
  <si>
    <t>Category</t>
  </si>
  <si>
    <t>Reference</t>
  </si>
  <si>
    <t>Item / Description</t>
  </si>
  <si>
    <t>Qty</t>
  </si>
  <si>
    <t>Source file</t>
  </si>
  <si>
    <t>Notes</t>
  </si>
  <si>
    <t>norelem Normelemente AG</t>
  </si>
  <si>
    <t>3210081379</t>
  </si>
  <si>
    <t>Belt &amp; pulley transmission</t>
  </si>
  <si>
    <t>23200-0382522</t>
  </si>
  <si>
    <t>Taper-lock bushing 1108, 22.3×25, D=38, cast iron</t>
  </si>
  <si>
    <t>Documentation/Confirmation.de.commande.norelem.3210081379.-.Redacted.pdf</t>
  </si>
  <si>
    <t>22070-12711</t>
  </si>
  <si>
    <t>V-belt pulley SPZ/10/Z, taper-lock, D=71, N=1, cast iron</t>
  </si>
  <si>
    <t>22070-11181</t>
  </si>
  <si>
    <t>V-belt pulley SPZ/10/Z, taper-lock, D=118, N=1, cast iron</t>
  </si>
  <si>
    <t>22071-12080</t>
  </si>
  <si>
    <t>V-belt DIN2215, type 10/Z, Li=2080, Br=10, neoprene</t>
  </si>
  <si>
    <t>23200-0572225</t>
  </si>
  <si>
    <t>Taper-lock bushing 1610, 25.4×22, D=57, cast iron</t>
  </si>
  <si>
    <t>Bearings &amp; drivetrain support</t>
  </si>
  <si>
    <t>23800-102504712</t>
  </si>
  <si>
    <t>FAG deep-groove ball bearing 6005-2Z, 25×47×12</t>
  </si>
  <si>
    <t>Keys, fasteners &amp; mounting</t>
  </si>
  <si>
    <t>03288-08X45</t>
  </si>
  <si>
    <t>DIN6885 parallel key, form A, B=8, L=45, H=7</t>
  </si>
  <si>
    <t>Adhesives &amp; consumables</t>
  </si>
  <si>
    <t>97990-6030010</t>
  </si>
  <si>
    <t>Loctite 603 retaining compound, 10 ml</t>
  </si>
  <si>
    <t>23200-0571425</t>
  </si>
  <si>
    <t>Taper-lock bushing 1610, 25.4×14, D=57, cast iron</t>
  </si>
  <si>
    <t>29014-30</t>
  </si>
  <si>
    <t>Tube clamp/bracket, M=80, G=50, L=62.5, A=30</t>
  </si>
  <si>
    <t>27616-08095</t>
  </si>
  <si>
    <t>Fixing support, form B long, zinc-plated steel, L=95, A=75</t>
  </si>
  <si>
    <t>EPFL Point Vélo</t>
  </si>
  <si>
    <t>Receipt 9900000288211</t>
  </si>
  <si>
    <t>Bicycle components</t>
  </si>
  <si>
    <t>Documentation/Facture point velo EPFL.JPG</t>
  </si>
  <si>
    <t>Farm-Bike Project Budget Summary</t>
  </si>
  <si>
    <t>Metric</t>
  </si>
  <si>
    <t>Value</t>
  </si>
  <si>
    <t>Subtotal excl. VAT</t>
  </si>
  <si>
    <t>Total incl. VAT/shipping</t>
  </si>
  <si>
    <t>Confirmed total paid (incl. VAT + shipping)</t>
  </si>
  <si>
    <t>Norelem subtotal excl. VAT</t>
  </si>
  <si>
    <t>Norelem shipping</t>
  </si>
  <si>
    <t>Norelem VAT</t>
  </si>
  <si>
    <t>Norelem total</t>
  </si>
  <si>
    <t>Point Vélo total</t>
  </si>
  <si>
    <t>Number of purchase lines</t>
  </si>
  <si>
    <t>TOTAL</t>
  </si>
  <si>
    <t>Scope note</t>
  </si>
  <si>
    <t>This budget is based on the purchase evidence included in the uploaded project folder: the Norelem order confirmation and the EPFL Point Vélo receipt. Recovered parts, donated parts, off-cuts, Item profiles recovered from decommissioned machinery and workshop labour are listed separately and excluded from the confirmed paid total unless a price is added later.</t>
  </si>
  <si>
    <t>Recovered / In-kind / Not Priced Items</t>
  </si>
  <si>
    <t>Item</t>
  </si>
  <si>
    <t>Source / evidence</t>
  </si>
  <si>
    <t>Unit value estimate (CHF)</t>
  </si>
  <si>
    <t>Total estimate (CHF)</t>
  </si>
  <si>
    <t>Budget treatment</t>
  </si>
  <si>
    <t>Frame structure</t>
  </si>
  <si>
    <t>Item Profile 8 aluminium profiles and relevant hardware</t>
  </si>
  <si>
    <t>Report/README: recovered from decommissioned machinery</t>
  </si>
  <si>
    <t>Excluded from confirmed purchases</t>
  </si>
  <si>
    <t>Stock material</t>
  </si>
  <si>
    <t>6061 aluminium billet/off-cuts for pillow block</t>
  </si>
  <si>
    <t>Report/README: material off-cuts/scrapped parts used where possible</t>
  </si>
  <si>
    <t>Excluded unless price is added</t>
  </si>
  <si>
    <t>S235 steel plate/off-cut for flywheel</t>
  </si>
  <si>
    <t>Report: flywheel cut from 5 mm S235 structural steel off-cut</t>
  </si>
  <si>
    <t>Bicycle frame donor</t>
  </si>
  <si>
    <t>Donor bicycle frame with BSA bottom bracket shell</t>
  </si>
  <si>
    <t>Report/README: recovered from donor frame</t>
  </si>
  <si>
    <t>Excluded / recovered</t>
  </si>
  <si>
    <t>Bicycle drivetrain</t>
  </si>
  <si>
    <t>Cassette, derailleur, shifter, handlebars, stem, crankset, bottom bracket, seatpost, saddle</t>
  </si>
  <si>
    <t>Report/README and Point Vélo receipt; detailed line split unavailable</t>
  </si>
  <si>
    <t>Partly covered by Point Vélo lump-sum receipt</t>
  </si>
  <si>
    <t>Workshop resources</t>
  </si>
  <si>
    <t>Machining, TIG welding, laser cutting, assembly labour</t>
  </si>
  <si>
    <t>Project fabrication work; no purchase evidence in folder</t>
  </si>
  <si>
    <t>Excluded from material budget</t>
  </si>
  <si>
    <t>Source Documents Used</t>
  </si>
  <si>
    <t>Supplier / document</t>
  </si>
  <si>
    <t>Key amounts extracted</t>
  </si>
  <si>
    <t>norelem order confirmation 3210081379, dated 2026-03-31</t>
  </si>
  <si>
    <t>Subtotal 130.03 CHF; shipping 28.95 CHF; VAT 12.88 CHF; total 171.86 CHF</t>
  </si>
  <si>
    <t>Line items copied from order confirmation</t>
  </si>
  <si>
    <t>EPFL Point Vélo receipt, dated 2026-04-13</t>
  </si>
  <si>
    <t>Net 41.63 CHF; VAT 3.37 CHF; total 45.00 CHF</t>
  </si>
  <si>
    <t>Receipt only lists one lump-sum line: Divers Matériel occa</t>
  </si>
  <si>
    <t>Documentation/Farm_Bike_may25th2026.pdf and README.md</t>
  </si>
  <si>
    <t>Project report / README</t>
  </si>
  <si>
    <t>Recovered parts and no-cost items identified</t>
  </si>
  <si>
    <t>Used to separate confirmed purchases from in-kind materials</t>
  </si>
  <si>
    <t>Total incl. VAT/shipping (CHF)</t>
  </si>
  <si>
    <t>Second-hand bicycle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</si>
</sst>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center" vertical="center" wrapText="1"/>
    </xf>
    <xf numFmtId="164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3" fillId="5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3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Budget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Subtotal excl. VAT</c:v>
          </c:tx>
          <c:invertIfNegative val="1"/>
          <c:cat>
            <c:strRef>
              <c:f>Dashboard!$D$4:$D$8</c:f>
              <c:strCache>
                <c:ptCount val="5"/>
                <c:pt idx="0">
                  <c:v>Belt &amp; pulley transmission</c:v>
                </c:pt>
                <c:pt idx="1">
                  <c:v>Bearings &amp; drivetrain support</c:v>
                </c:pt>
                <c:pt idx="2">
                  <c:v>Keys, fasteners &amp; mounting</c:v>
                </c:pt>
                <c:pt idx="3">
                  <c:v>Adhesives &amp; consumables</c:v>
                </c:pt>
                <c:pt idx="4">
                  <c:v>Bicycle components</c:v>
                </c:pt>
              </c:strCache>
            </c:strRef>
          </c:cat>
          <c:val>
            <c:numRef>
              <c:f>Dashboard!$E$4:$E$8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F8-274E-8DC8-9BD34316B224}"/>
            </c:ext>
          </c:extLst>
        </c:ser>
        <c:ser>
          <c:idx val="1"/>
          <c:order val="1"/>
          <c:tx>
            <c:v>Total incl. VAT/shipping</c:v>
          </c:tx>
          <c:invertIfNegative val="1"/>
          <c:cat>
            <c:strRef>
              <c:f>Dashboard!$D$4:$D$8</c:f>
              <c:strCache>
                <c:ptCount val="5"/>
                <c:pt idx="0">
                  <c:v>Belt &amp; pulley transmission</c:v>
                </c:pt>
                <c:pt idx="1">
                  <c:v>Bearings &amp; drivetrain support</c:v>
                </c:pt>
                <c:pt idx="2">
                  <c:v>Keys, fasteners &amp; mounting</c:v>
                </c:pt>
                <c:pt idx="3">
                  <c:v>Adhesives &amp; consumables</c:v>
                </c:pt>
                <c:pt idx="4">
                  <c:v>Bicycle components</c:v>
                </c:pt>
              </c:strCache>
            </c:strRef>
          </c:cat>
          <c:val>
            <c:numRef>
              <c:f>Dashboard!$F$4:$F$8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F8-274E-8DC8-9BD34316B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urchasesTable" displayName="PurchasesTable" ref="A3:H16" totalsRowCount="1">
  <tableColumns count="8">
    <tableColumn id="1" xr3:uid="{00000000-0010-0000-0000-000001000000}" name="Date"/>
    <tableColumn id="2" xr3:uid="{00000000-0010-0000-0000-000002000000}" name="Supplier"/>
    <tableColumn id="3" xr3:uid="{00000000-0010-0000-0000-000003000000}" name="Invoice / Receipt"/>
    <tableColumn id="5" xr3:uid="{00000000-0010-0000-0000-000005000000}" name="Category"/>
    <tableColumn id="6" xr3:uid="{00000000-0010-0000-0000-000006000000}" name="Reference"/>
    <tableColumn id="7" xr3:uid="{00000000-0010-0000-0000-000007000000}" name="Item / Description"/>
    <tableColumn id="8" xr3:uid="{00000000-0010-0000-0000-000008000000}" name="Qty"/>
    <tableColumn id="14" xr3:uid="{00000000-0010-0000-0000-00000E000000}" name="Total incl. VAT/shipping (CHF)" totalsRowFunction="custom">
      <totalsRowFormula>SUM(PurchasesTable[Total incl. VAT/shipping (CHF)])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tegorySummaryTable" displayName="CategorySummaryTable" ref="D3:F10">
  <tableColumns count="3">
    <tableColumn id="1" xr3:uid="{00000000-0010-0000-0100-000001000000}" name="Category"/>
    <tableColumn id="2" xr3:uid="{00000000-0010-0000-0100-000002000000}" name="Subtotal excl. VAT"/>
    <tableColumn id="3" xr3:uid="{00000000-0010-0000-0100-000003000000}" name="Total incl. VAT/shipp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coveredItemsTable" displayName="RecoveredItemsTable" ref="A3:G9">
  <tableColumns count="7">
    <tableColumn id="1" xr3:uid="{00000000-0010-0000-0200-000001000000}" name="Category"/>
    <tableColumn id="2" xr3:uid="{00000000-0010-0000-0200-000002000000}" name="Item"/>
    <tableColumn id="3" xr3:uid="{00000000-0010-0000-0200-000003000000}" name="Source / evidence"/>
    <tableColumn id="4" xr3:uid="{00000000-0010-0000-0200-000004000000}" name="Qty"/>
    <tableColumn id="5" xr3:uid="{00000000-0010-0000-0200-000005000000}" name="Unit value estimate (CHF)"/>
    <tableColumn id="6" xr3:uid="{00000000-0010-0000-0200-000006000000}" name="Total estimate (CHF)"/>
    <tableColumn id="7" xr3:uid="{00000000-0010-0000-0200-000007000000}" name="Budget treatm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ourcesTable" displayName="SourcesTable" ref="A3:D6">
  <tableColumns count="4">
    <tableColumn id="1" xr3:uid="{00000000-0010-0000-0300-000001000000}" name="Source file"/>
    <tableColumn id="2" xr3:uid="{00000000-0010-0000-0300-000002000000}" name="Supplier / document"/>
    <tableColumn id="3" xr3:uid="{00000000-0010-0000-0300-000003000000}" name="Key amounts extracted"/>
    <tableColumn id="4" xr3:uid="{00000000-0010-0000-0300-00000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selection activeCell="F21" sqref="F21"/>
    </sheetView>
  </sheetViews>
  <sheetFormatPr baseColWidth="10" defaultColWidth="8.83203125" defaultRowHeight="14"/>
  <cols>
    <col min="1" max="1" width="12" customWidth="1"/>
    <col min="2" max="2" width="22" customWidth="1"/>
    <col min="3" max="3" width="18" customWidth="1"/>
    <col min="4" max="4" width="24" customWidth="1"/>
    <col min="5" max="5" width="18" customWidth="1"/>
    <col min="6" max="6" width="44" customWidth="1"/>
    <col min="7" max="7" width="8" customWidth="1"/>
    <col min="8" max="8" width="13.1640625" customWidth="1"/>
    <col min="9" max="11" width="0.1640625" customWidth="1"/>
    <col min="12" max="12" width="15" hidden="1" customWidth="1"/>
    <col min="13" max="13" width="13.1640625" hidden="1" customWidth="1"/>
    <col min="14" max="14" width="34" hidden="1" customWidth="1"/>
    <col min="15" max="15" width="1.5" hidden="1" customWidth="1"/>
  </cols>
  <sheetData>
    <row r="1" spans="1:15" ht="25.5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2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37.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99</v>
      </c>
    </row>
    <row r="4" spans="1:15" ht="32" customHeight="1">
      <c r="A4" s="3">
        <v>46112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>
        <v>1</v>
      </c>
      <c r="H4">
        <v>6.25</v>
      </c>
    </row>
    <row r="5" spans="1:15" ht="31" customHeight="1">
      <c r="A5" s="3">
        <v>46112</v>
      </c>
      <c r="B5" s="1" t="s">
        <v>10</v>
      </c>
      <c r="C5" s="1" t="s">
        <v>11</v>
      </c>
      <c r="D5" s="1" t="s">
        <v>12</v>
      </c>
      <c r="E5" s="1" t="s">
        <v>16</v>
      </c>
      <c r="F5" s="1" t="s">
        <v>17</v>
      </c>
      <c r="G5" s="1">
        <v>1</v>
      </c>
      <c r="H5">
        <v>7.48</v>
      </c>
    </row>
    <row r="6" spans="1:15" ht="30" customHeight="1">
      <c r="A6" s="3">
        <v>46112</v>
      </c>
      <c r="B6" s="1" t="s">
        <v>10</v>
      </c>
      <c r="C6" s="1" t="s">
        <v>11</v>
      </c>
      <c r="D6" s="1" t="s">
        <v>12</v>
      </c>
      <c r="E6" s="1" t="s">
        <v>18</v>
      </c>
      <c r="F6" s="1" t="s">
        <v>19</v>
      </c>
      <c r="G6" s="1">
        <v>3</v>
      </c>
      <c r="H6">
        <v>39.22</v>
      </c>
    </row>
    <row r="7" spans="1:15" ht="30" customHeight="1">
      <c r="A7" s="3">
        <v>46112</v>
      </c>
      <c r="B7" s="1" t="s">
        <v>10</v>
      </c>
      <c r="C7" s="1" t="s">
        <v>11</v>
      </c>
      <c r="D7" s="1" t="s">
        <v>12</v>
      </c>
      <c r="E7" s="1" t="s">
        <v>20</v>
      </c>
      <c r="F7" s="1" t="s">
        <v>21</v>
      </c>
      <c r="G7" s="1">
        <v>1</v>
      </c>
      <c r="H7">
        <v>20.74</v>
      </c>
    </row>
    <row r="8" spans="1:15" ht="31" customHeight="1">
      <c r="A8" s="3">
        <v>46112</v>
      </c>
      <c r="B8" s="1" t="s">
        <v>10</v>
      </c>
      <c r="C8" s="1" t="s">
        <v>11</v>
      </c>
      <c r="D8" s="1" t="s">
        <v>12</v>
      </c>
      <c r="E8" s="1" t="s">
        <v>22</v>
      </c>
      <c r="F8" s="1" t="s">
        <v>23</v>
      </c>
      <c r="G8" s="1">
        <v>1</v>
      </c>
      <c r="H8">
        <v>9.01</v>
      </c>
    </row>
    <row r="9" spans="1:15" ht="31" customHeight="1">
      <c r="A9" s="3">
        <v>46112</v>
      </c>
      <c r="B9" s="1" t="s">
        <v>10</v>
      </c>
      <c r="C9" s="1" t="s">
        <v>11</v>
      </c>
      <c r="D9" s="1" t="s">
        <v>24</v>
      </c>
      <c r="E9" s="1" t="s">
        <v>25</v>
      </c>
      <c r="F9" s="1" t="s">
        <v>26</v>
      </c>
      <c r="G9" s="1">
        <v>2</v>
      </c>
      <c r="H9">
        <v>23.95</v>
      </c>
    </row>
    <row r="10" spans="1:15" ht="31" customHeight="1">
      <c r="A10" s="3">
        <v>46112</v>
      </c>
      <c r="B10" s="1" t="s">
        <v>10</v>
      </c>
      <c r="C10" s="1" t="s">
        <v>11</v>
      </c>
      <c r="D10" s="1" t="s">
        <v>27</v>
      </c>
      <c r="E10" s="1" t="s">
        <v>28</v>
      </c>
      <c r="F10" s="1" t="s">
        <v>29</v>
      </c>
      <c r="G10" s="1">
        <v>3</v>
      </c>
      <c r="H10">
        <v>2.06</v>
      </c>
    </row>
    <row r="11" spans="1:15" ht="29" customHeight="1">
      <c r="A11" s="3">
        <v>46112</v>
      </c>
      <c r="B11" s="1" t="s">
        <v>10</v>
      </c>
      <c r="C11" s="1" t="s">
        <v>11</v>
      </c>
      <c r="D11" s="1" t="s">
        <v>30</v>
      </c>
      <c r="E11" s="1" t="s">
        <v>31</v>
      </c>
      <c r="F11" s="1" t="s">
        <v>32</v>
      </c>
      <c r="G11" s="1">
        <v>1</v>
      </c>
      <c r="H11">
        <v>27.1</v>
      </c>
    </row>
    <row r="12" spans="1:15" ht="29" customHeight="1">
      <c r="A12" s="3">
        <v>46112</v>
      </c>
      <c r="B12" s="1" t="s">
        <v>10</v>
      </c>
      <c r="C12" s="1" t="s">
        <v>11</v>
      </c>
      <c r="D12" s="1" t="s">
        <v>12</v>
      </c>
      <c r="E12" s="1" t="s">
        <v>33</v>
      </c>
      <c r="F12" s="1" t="s">
        <v>34</v>
      </c>
      <c r="G12" s="1">
        <v>2</v>
      </c>
      <c r="H12">
        <v>18.03</v>
      </c>
    </row>
    <row r="13" spans="1:15" ht="30" customHeight="1">
      <c r="A13" s="3">
        <v>46112</v>
      </c>
      <c r="B13" s="1" t="s">
        <v>10</v>
      </c>
      <c r="C13" s="1" t="s">
        <v>11</v>
      </c>
      <c r="D13" s="1" t="s">
        <v>27</v>
      </c>
      <c r="E13" s="1" t="s">
        <v>35</v>
      </c>
      <c r="F13" s="1" t="s">
        <v>36</v>
      </c>
      <c r="G13" s="1">
        <v>2</v>
      </c>
      <c r="H13">
        <v>11.23</v>
      </c>
    </row>
    <row r="14" spans="1:15" ht="32" customHeight="1">
      <c r="A14" s="3">
        <v>46112</v>
      </c>
      <c r="B14" s="1" t="s">
        <v>10</v>
      </c>
      <c r="C14" s="1" t="s">
        <v>11</v>
      </c>
      <c r="D14" s="1" t="s">
        <v>27</v>
      </c>
      <c r="E14" s="1" t="s">
        <v>37</v>
      </c>
      <c r="F14" s="1" t="s">
        <v>38</v>
      </c>
      <c r="G14" s="1">
        <v>1</v>
      </c>
      <c r="H14">
        <v>6.79</v>
      </c>
    </row>
    <row r="15" spans="1:15" ht="20" customHeight="1">
      <c r="A15" s="3">
        <v>46125</v>
      </c>
      <c r="B15" s="1" t="s">
        <v>39</v>
      </c>
      <c r="C15" s="1" t="s">
        <v>40</v>
      </c>
      <c r="D15" s="1" t="s">
        <v>41</v>
      </c>
      <c r="E15" s="1"/>
      <c r="F15" s="1" t="s">
        <v>100</v>
      </c>
      <c r="G15" s="1">
        <v>1</v>
      </c>
      <c r="H15">
        <v>45</v>
      </c>
    </row>
    <row r="16" spans="1:15">
      <c r="H16">
        <f>SUM(PurchasesTable[Total incl. VAT/shipping (CHF)])</f>
        <v>216.85999999999999</v>
      </c>
    </row>
  </sheetData>
  <mergeCells count="1">
    <mergeCell ref="A1:O1"/>
  </mergeCells>
  <dataValidations count="1">
    <dataValidation type="list" sqref="D4:D15 D17:D100" xr:uid="{00000000-0002-0000-0000-000000000000}">
      <formula1>"Belt &amp; pulley transmission,Bearings &amp; drivetrain support,Keys, fasteners &amp; mounting,Adhesives &amp; consumables,Bicycle components,Other"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/>
  </sheetViews>
  <sheetFormatPr baseColWidth="10" defaultColWidth="8.83203125" defaultRowHeight="14"/>
  <cols>
    <col min="1" max="1" width="36" customWidth="1"/>
    <col min="2" max="2" width="18" customWidth="1"/>
    <col min="4" max="4" width="30" customWidth="1"/>
    <col min="5" max="6" width="18" customWidth="1"/>
    <col min="7" max="8" width="16" customWidth="1"/>
  </cols>
  <sheetData>
    <row r="1" spans="1:8" ht="25.5" customHeight="1">
      <c r="A1" s="7" t="s">
        <v>43</v>
      </c>
      <c r="B1" s="8"/>
      <c r="C1" s="8"/>
      <c r="D1" s="8"/>
      <c r="E1" s="8"/>
      <c r="F1" s="8"/>
      <c r="G1" s="8"/>
      <c r="H1" s="8"/>
    </row>
    <row r="2" spans="1:8" ht="20" customHeight="1">
      <c r="A2" s="1"/>
      <c r="B2" s="1"/>
      <c r="C2" s="1"/>
      <c r="D2" s="1"/>
      <c r="E2" s="1"/>
      <c r="F2" s="1"/>
      <c r="G2" s="1"/>
      <c r="H2" s="1"/>
    </row>
    <row r="3" spans="1:8" ht="37.25" customHeight="1">
      <c r="A3" s="2" t="s">
        <v>44</v>
      </c>
      <c r="B3" s="2" t="s">
        <v>45</v>
      </c>
      <c r="C3" s="1"/>
      <c r="D3" s="2" t="s">
        <v>4</v>
      </c>
      <c r="E3" s="2" t="s">
        <v>46</v>
      </c>
      <c r="F3" s="2" t="s">
        <v>47</v>
      </c>
      <c r="G3" s="1"/>
      <c r="H3" s="1"/>
    </row>
    <row r="4" spans="1:8" ht="20" customHeight="1">
      <c r="A4" s="6" t="s">
        <v>48</v>
      </c>
      <c r="B4" s="6">
        <f>SUM(Purchases!M:M)</f>
        <v>0</v>
      </c>
      <c r="C4" s="1"/>
      <c r="D4" s="1" t="s">
        <v>12</v>
      </c>
      <c r="E4" s="1">
        <f>SUMIFS(Purchases!$J:$J,Purchases!$D:$D,D4)</f>
        <v>0</v>
      </c>
      <c r="F4" s="1">
        <f>SUMIFS(Purchases!$M:$M,Purchases!$D:$D,D4)</f>
        <v>0</v>
      </c>
      <c r="G4" s="1"/>
      <c r="H4" s="1"/>
    </row>
    <row r="5" spans="1:8" ht="20" customHeight="1">
      <c r="A5" s="1" t="s">
        <v>49</v>
      </c>
      <c r="B5" s="1">
        <f>SUMIFS(Purchases!J:J,Purchases!B:B,"norelem Normelemente AG")</f>
        <v>0</v>
      </c>
      <c r="C5" s="1"/>
      <c r="D5" s="1" t="s">
        <v>24</v>
      </c>
      <c r="E5" s="1">
        <f>SUMIFS(Purchases!$J:$J,Purchases!$D:$D,D5)</f>
        <v>0</v>
      </c>
      <c r="F5" s="1">
        <f>SUMIFS(Purchases!$M:$M,Purchases!$D:$D,D5)</f>
        <v>0</v>
      </c>
      <c r="G5" s="1"/>
      <c r="H5" s="1"/>
    </row>
    <row r="6" spans="1:8" ht="20" customHeight="1">
      <c r="A6" s="1" t="s">
        <v>50</v>
      </c>
      <c r="B6" s="1">
        <v>28.95</v>
      </c>
      <c r="C6" s="1"/>
      <c r="D6" s="1" t="s">
        <v>27</v>
      </c>
      <c r="E6" s="1">
        <f>SUMIFS(Purchases!$J:$J,Purchases!$D:$D,D6)</f>
        <v>0</v>
      </c>
      <c r="F6" s="1">
        <f>SUMIFS(Purchases!$M:$M,Purchases!$D:$D,D6)</f>
        <v>0</v>
      </c>
      <c r="G6" s="1"/>
      <c r="H6" s="1"/>
    </row>
    <row r="7" spans="1:8" ht="20" customHeight="1">
      <c r="A7" s="1" t="s">
        <v>51</v>
      </c>
      <c r="B7" s="1">
        <v>12.88</v>
      </c>
      <c r="C7" s="1"/>
      <c r="D7" s="1" t="s">
        <v>30</v>
      </c>
      <c r="E7" s="1">
        <f>SUMIFS(Purchases!$J:$J,Purchases!$D:$D,D7)</f>
        <v>0</v>
      </c>
      <c r="F7" s="1">
        <f>SUMIFS(Purchases!$M:$M,Purchases!$D:$D,D7)</f>
        <v>0</v>
      </c>
      <c r="G7" s="1"/>
      <c r="H7" s="1"/>
    </row>
    <row r="8" spans="1:8" ht="20" customHeight="1">
      <c r="A8" s="1" t="s">
        <v>52</v>
      </c>
      <c r="B8" s="1">
        <f>SUMIFS(Purchases!M:M,Purchases!B:B,"norelem Normelemente AG")</f>
        <v>0</v>
      </c>
      <c r="C8" s="1"/>
      <c r="D8" s="1" t="s">
        <v>41</v>
      </c>
      <c r="E8" s="1">
        <f>SUMIFS(Purchases!$J:$J,Purchases!$D:$D,D8)</f>
        <v>0</v>
      </c>
      <c r="F8" s="1">
        <f>SUMIFS(Purchases!$M:$M,Purchases!$D:$D,D8)</f>
        <v>0</v>
      </c>
      <c r="G8" s="1"/>
      <c r="H8" s="1"/>
    </row>
    <row r="9" spans="1:8" ht="20" customHeight="1">
      <c r="A9" s="1" t="s">
        <v>53</v>
      </c>
      <c r="B9" s="1">
        <f>SUMIFS(Purchases!M:M,Purchases!B:B,"EPFL Point Vélo")</f>
        <v>0</v>
      </c>
      <c r="C9" s="1"/>
      <c r="D9" s="1"/>
      <c r="E9" s="1"/>
      <c r="F9" s="1"/>
      <c r="G9" s="1"/>
      <c r="H9" s="1"/>
    </row>
    <row r="10" spans="1:8" ht="20" customHeight="1">
      <c r="A10" s="1" t="s">
        <v>54</v>
      </c>
      <c r="B10" s="4">
        <f>COUNTA(Purchases!F:F)-1</f>
        <v>12</v>
      </c>
      <c r="C10" s="1"/>
      <c r="D10" s="5" t="s">
        <v>55</v>
      </c>
      <c r="E10" s="5">
        <f>SUM(E4:E8)</f>
        <v>0</v>
      </c>
      <c r="F10" s="5">
        <f>SUM(F4:F8)</f>
        <v>0</v>
      </c>
      <c r="G10" s="1"/>
      <c r="H10" s="1"/>
    </row>
    <row r="11" spans="1:8" ht="20" customHeight="1">
      <c r="A11" s="1"/>
      <c r="B11" s="1"/>
      <c r="C11" s="1"/>
      <c r="D11" s="1"/>
      <c r="E11" s="1"/>
      <c r="F11" s="1"/>
      <c r="G11" s="1"/>
      <c r="H11" s="1"/>
    </row>
    <row r="12" spans="1:8" ht="20" customHeight="1">
      <c r="A12" s="9" t="s">
        <v>56</v>
      </c>
      <c r="B12" s="8"/>
      <c r="C12" s="8"/>
      <c r="D12" s="8"/>
      <c r="E12" s="8"/>
      <c r="F12" s="8"/>
      <c r="G12" s="8"/>
      <c r="H12" s="8"/>
    </row>
    <row r="13" spans="1:8" ht="20" customHeight="1">
      <c r="A13" s="8" t="s">
        <v>57</v>
      </c>
      <c r="B13" s="8"/>
      <c r="C13" s="8"/>
      <c r="D13" s="8"/>
      <c r="E13" s="8"/>
      <c r="F13" s="8"/>
      <c r="G13" s="8"/>
      <c r="H13" s="8"/>
    </row>
    <row r="14" spans="1:8" ht="20" customHeight="1">
      <c r="A14" s="8"/>
      <c r="B14" s="8"/>
      <c r="C14" s="8"/>
      <c r="D14" s="8"/>
      <c r="E14" s="8"/>
      <c r="F14" s="8"/>
      <c r="G14" s="8"/>
      <c r="H14" s="8"/>
    </row>
    <row r="15" spans="1:8" ht="20" customHeight="1">
      <c r="A15" s="8"/>
      <c r="B15" s="8"/>
      <c r="C15" s="8"/>
      <c r="D15" s="8"/>
      <c r="E15" s="8"/>
      <c r="F15" s="8"/>
      <c r="G15" s="8"/>
      <c r="H15" s="8"/>
    </row>
    <row r="16" spans="1:8" ht="20" customHeight="1">
      <c r="A16" s="8"/>
      <c r="B16" s="8"/>
      <c r="C16" s="8"/>
      <c r="D16" s="8"/>
      <c r="E16" s="8"/>
      <c r="F16" s="8"/>
      <c r="G16" s="8"/>
      <c r="H16" s="8"/>
    </row>
  </sheetData>
  <mergeCells count="3">
    <mergeCell ref="A1:H1"/>
    <mergeCell ref="A12:H12"/>
    <mergeCell ref="A13:H16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/>
  </sheetViews>
  <sheetFormatPr baseColWidth="10" defaultColWidth="8.83203125" defaultRowHeight="14"/>
  <cols>
    <col min="1" max="1" width="22" customWidth="1"/>
    <col min="2" max="2" width="42" customWidth="1"/>
    <col min="3" max="3" width="46" customWidth="1"/>
    <col min="4" max="4" width="8" customWidth="1"/>
    <col min="5" max="6" width="16" customWidth="1"/>
    <col min="7" max="7" width="30" customWidth="1"/>
  </cols>
  <sheetData>
    <row r="1" spans="1:7" ht="25.5" customHeight="1">
      <c r="A1" s="7" t="s">
        <v>58</v>
      </c>
      <c r="B1" s="8"/>
      <c r="C1" s="8"/>
      <c r="D1" s="8"/>
      <c r="E1" s="8"/>
      <c r="F1" s="8"/>
      <c r="G1" s="8"/>
    </row>
    <row r="2" spans="1:7" ht="20" customHeight="1">
      <c r="A2" s="1"/>
      <c r="B2" s="1"/>
      <c r="C2" s="1"/>
      <c r="D2" s="1"/>
      <c r="E2" s="1"/>
      <c r="F2" s="1"/>
      <c r="G2" s="1"/>
    </row>
    <row r="3" spans="1:7" ht="37.25" customHeight="1">
      <c r="A3" s="2" t="s">
        <v>4</v>
      </c>
      <c r="B3" s="2" t="s">
        <v>59</v>
      </c>
      <c r="C3" s="2" t="s">
        <v>60</v>
      </c>
      <c r="D3" s="2" t="s">
        <v>7</v>
      </c>
      <c r="E3" s="2" t="s">
        <v>61</v>
      </c>
      <c r="F3" s="2" t="s">
        <v>62</v>
      </c>
      <c r="G3" s="2" t="s">
        <v>63</v>
      </c>
    </row>
    <row r="4" spans="1:7" ht="20" customHeight="1">
      <c r="A4" s="1" t="s">
        <v>64</v>
      </c>
      <c r="B4" s="1" t="s">
        <v>65</v>
      </c>
      <c r="C4" s="1" t="s">
        <v>66</v>
      </c>
      <c r="D4" s="1"/>
      <c r="E4" s="1"/>
      <c r="F4" s="1" t="str">
        <f t="shared" ref="F4:F9" si="0">IF(OR(D4="",E4=""),"",D4*E4)</f>
        <v/>
      </c>
      <c r="G4" s="1" t="s">
        <v>67</v>
      </c>
    </row>
    <row r="5" spans="1:7" ht="20" customHeight="1">
      <c r="A5" s="1" t="s">
        <v>68</v>
      </c>
      <c r="B5" s="1" t="s">
        <v>69</v>
      </c>
      <c r="C5" s="1" t="s">
        <v>70</v>
      </c>
      <c r="D5" s="1"/>
      <c r="E5" s="1"/>
      <c r="F5" s="1" t="str">
        <f t="shared" si="0"/>
        <v/>
      </c>
      <c r="G5" s="1" t="s">
        <v>71</v>
      </c>
    </row>
    <row r="6" spans="1:7" ht="20" customHeight="1">
      <c r="A6" s="1" t="s">
        <v>68</v>
      </c>
      <c r="B6" s="1" t="s">
        <v>72</v>
      </c>
      <c r="C6" s="1" t="s">
        <v>73</v>
      </c>
      <c r="D6" s="1"/>
      <c r="E6" s="1"/>
      <c r="F6" s="1" t="str">
        <f t="shared" si="0"/>
        <v/>
      </c>
      <c r="G6" s="1" t="s">
        <v>71</v>
      </c>
    </row>
    <row r="7" spans="1:7" ht="20" customHeight="1">
      <c r="A7" s="1" t="s">
        <v>74</v>
      </c>
      <c r="B7" s="1" t="s">
        <v>75</v>
      </c>
      <c r="C7" s="1" t="s">
        <v>76</v>
      </c>
      <c r="D7" s="1">
        <v>1</v>
      </c>
      <c r="E7" s="1"/>
      <c r="F7" s="1" t="str">
        <f t="shared" si="0"/>
        <v/>
      </c>
      <c r="G7" s="1" t="s">
        <v>77</v>
      </c>
    </row>
    <row r="8" spans="1:7" ht="20" customHeight="1">
      <c r="A8" s="1" t="s">
        <v>78</v>
      </c>
      <c r="B8" s="1" t="s">
        <v>79</v>
      </c>
      <c r="C8" s="1" t="s">
        <v>80</v>
      </c>
      <c r="D8" s="1"/>
      <c r="E8" s="1"/>
      <c r="F8" s="1" t="str">
        <f t="shared" si="0"/>
        <v/>
      </c>
      <c r="G8" s="1" t="s">
        <v>81</v>
      </c>
    </row>
    <row r="9" spans="1:7" ht="20" customHeight="1">
      <c r="A9" s="1" t="s">
        <v>82</v>
      </c>
      <c r="B9" s="1" t="s">
        <v>83</v>
      </c>
      <c r="C9" s="1" t="s">
        <v>84</v>
      </c>
      <c r="D9" s="1"/>
      <c r="E9" s="1"/>
      <c r="F9" s="1" t="str">
        <f t="shared" si="0"/>
        <v/>
      </c>
      <c r="G9" s="1" t="s">
        <v>85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baseColWidth="10" defaultColWidth="8.83203125" defaultRowHeight="14"/>
  <cols>
    <col min="1" max="1" width="50" customWidth="1"/>
    <col min="2" max="2" width="36" customWidth="1"/>
    <col min="3" max="3" width="40" customWidth="1"/>
    <col min="4" max="4" width="42" customWidth="1"/>
  </cols>
  <sheetData>
    <row r="1" spans="1:4" ht="25.5" customHeight="1">
      <c r="A1" s="7" t="s">
        <v>86</v>
      </c>
      <c r="B1" s="8"/>
      <c r="C1" s="8"/>
      <c r="D1" s="8"/>
    </row>
    <row r="2" spans="1:4" ht="20" customHeight="1">
      <c r="A2" s="1"/>
      <c r="B2" s="1"/>
      <c r="C2" s="1"/>
      <c r="D2" s="1"/>
    </row>
    <row r="3" spans="1:4" ht="37.25" customHeight="1">
      <c r="A3" s="2" t="s">
        <v>8</v>
      </c>
      <c r="B3" s="2" t="s">
        <v>87</v>
      </c>
      <c r="C3" s="2" t="s">
        <v>88</v>
      </c>
      <c r="D3" s="2" t="s">
        <v>9</v>
      </c>
    </row>
    <row r="4" spans="1:4" ht="20" customHeight="1">
      <c r="A4" s="1" t="s">
        <v>15</v>
      </c>
      <c r="B4" s="1" t="s">
        <v>89</v>
      </c>
      <c r="C4" s="1" t="s">
        <v>90</v>
      </c>
      <c r="D4" s="1" t="s">
        <v>91</v>
      </c>
    </row>
    <row r="5" spans="1:4" ht="20" customHeight="1">
      <c r="A5" s="1" t="s">
        <v>42</v>
      </c>
      <c r="B5" s="1" t="s">
        <v>92</v>
      </c>
      <c r="C5" s="1" t="s">
        <v>93</v>
      </c>
      <c r="D5" s="1" t="s">
        <v>94</v>
      </c>
    </row>
    <row r="6" spans="1:4" ht="20" customHeight="1">
      <c r="A6" s="1" t="s">
        <v>95</v>
      </c>
      <c r="B6" s="1" t="s">
        <v>96</v>
      </c>
      <c r="C6" s="1" t="s">
        <v>97</v>
      </c>
      <c r="D6" s="1" t="s">
        <v>98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Purchases</vt:lpstr>
      <vt:lpstr>Dashboard</vt:lpstr>
      <vt:lpstr>Recovered_or_Excluded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Baptista Coelho</cp:lastModifiedBy>
  <dcterms:created xsi:type="dcterms:W3CDTF">2026-05-30T12:40:39Z</dcterms:created>
  <dcterms:modified xsi:type="dcterms:W3CDTF">2026-05-30T12:41:41Z</dcterms:modified>
</cp:coreProperties>
</file>