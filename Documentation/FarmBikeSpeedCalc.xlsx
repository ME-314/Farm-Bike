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C4CDFB2D-72DF-4746-AC4A-62A600B69D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B25" i="1"/>
  <c r="B24" i="1"/>
  <c r="E4" i="1"/>
  <c r="H4" i="1" s="1"/>
  <c r="E3" i="1"/>
  <c r="H3" i="1" s="1"/>
  <c r="B5" i="1"/>
  <c r="E6" i="1" l="1"/>
  <c r="H6" i="1" s="1"/>
  <c r="E5" i="1"/>
  <c r="H5" i="1" s="1"/>
</calcChain>
</file>

<file path=xl/sharedStrings.xml><?xml version="1.0" encoding="utf-8"?>
<sst xmlns="http://schemas.openxmlformats.org/spreadsheetml/2006/main" count="37" uniqueCount="34">
  <si>
    <t>Farm Bike Speed And Torque Calculations</t>
  </si>
  <si>
    <t xml:space="preserve">Input </t>
  </si>
  <si>
    <t>Hub</t>
  </si>
  <si>
    <t>Machine</t>
  </si>
  <si>
    <t>Cadance [rpm]</t>
  </si>
  <si>
    <t>Rpm High</t>
  </si>
  <si>
    <t xml:space="preserve">Rpm High </t>
  </si>
  <si>
    <t>Input</t>
  </si>
  <si>
    <t xml:space="preserve">Power </t>
  </si>
  <si>
    <t>Rpm Low</t>
  </si>
  <si>
    <t xml:space="preserve">Rpm Low </t>
  </si>
  <si>
    <t>Intermediate</t>
  </si>
  <si>
    <t>Torque</t>
  </si>
  <si>
    <t>Torque High</t>
  </si>
  <si>
    <t>Result</t>
  </si>
  <si>
    <t>Torque Low</t>
  </si>
  <si>
    <t>Chain Ring</t>
  </si>
  <si>
    <t xml:space="preserve">Cassete </t>
  </si>
  <si>
    <t>Drive</t>
  </si>
  <si>
    <t>Driven</t>
  </si>
  <si>
    <t># of teeth</t>
  </si>
  <si>
    <t>Small [# of teeth]</t>
  </si>
  <si>
    <t>Diameter [mm]</t>
  </si>
  <si>
    <t>BigSmall [# of teeth]</t>
  </si>
  <si>
    <t xml:space="preserve">Chosen driven pullies </t>
  </si>
  <si>
    <t>Grain Sorter</t>
  </si>
  <si>
    <t>TBD</t>
  </si>
  <si>
    <t>Polent Mill</t>
  </si>
  <si>
    <t>Corn Sheller</t>
  </si>
  <si>
    <t>Belt Length Calculation</t>
  </si>
  <si>
    <t>Center to Center [mm]</t>
  </si>
  <si>
    <t>Belt Length [mm]</t>
  </si>
  <si>
    <t>Drive [mm]</t>
  </si>
  <si>
    <t>Driven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</si>
</sst>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Border="1"/>
    <xf numFmtId="0" fontId="2" fillId="8" borderId="0" xfId="0" applyFont="1" applyFill="1"/>
    <xf numFmtId="0" fontId="0" fillId="8" borderId="0" xfId="0" applyFill="1"/>
    <xf numFmtId="0" fontId="1" fillId="9" borderId="5" xfId="0" applyFont="1" applyFill="1" applyBorder="1"/>
    <xf numFmtId="0" fontId="0" fillId="9" borderId="6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2" fillId="5" borderId="1" xfId="0" applyFont="1" applyFill="1" applyBorder="1"/>
    <xf numFmtId="0" fontId="0" fillId="5" borderId="2" xfId="0" applyFill="1" applyBorder="1"/>
    <xf numFmtId="0" fontId="0" fillId="0" borderId="0" xfId="0" applyFill="1" applyBorder="1"/>
    <xf numFmtId="0" fontId="0" fillId="0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10" workbookViewId="0">
      <selection activeCell="G24" sqref="G24"/>
    </sheetView>
  </sheetViews>
  <sheetFormatPr defaultRowHeight="15"/>
  <sheetData>
    <row r="1" spans="1:12">
      <c r="A1" s="10" t="s">
        <v>0</v>
      </c>
      <c r="B1" s="11"/>
      <c r="C1" s="11"/>
      <c r="D1" s="11"/>
      <c r="E1" s="11"/>
    </row>
    <row r="2" spans="1:12">
      <c r="B2" s="1" t="s">
        <v>1</v>
      </c>
      <c r="E2" s="1" t="s">
        <v>2</v>
      </c>
      <c r="H2" s="2" t="s">
        <v>3</v>
      </c>
      <c r="K2" s="9"/>
      <c r="L2" s="9"/>
    </row>
    <row r="3" spans="1:12">
      <c r="A3" s="4" t="s">
        <v>4</v>
      </c>
      <c r="B3" s="5">
        <v>70</v>
      </c>
      <c r="D3" t="s">
        <v>5</v>
      </c>
      <c r="E3" s="3">
        <f xml:space="preserve"> B3*(B11/E11)</f>
        <v>216.36363636363635</v>
      </c>
      <c r="G3" t="s">
        <v>6</v>
      </c>
      <c r="H3" s="8">
        <f xml:space="preserve"> E3*(H11/K11)</f>
        <v>137.15909090909088</v>
      </c>
      <c r="J3" s="16" t="s">
        <v>7</v>
      </c>
      <c r="K3" s="17"/>
      <c r="L3" s="9"/>
    </row>
    <row r="4" spans="1:12">
      <c r="A4" s="4" t="s">
        <v>8</v>
      </c>
      <c r="B4" s="5">
        <v>250</v>
      </c>
      <c r="D4" t="s">
        <v>9</v>
      </c>
      <c r="E4" s="3">
        <f xml:space="preserve"> B3*(B11/E12)</f>
        <v>74.375</v>
      </c>
      <c r="G4" t="s">
        <v>10</v>
      </c>
      <c r="H4" s="8">
        <f xml:space="preserve"> E4*(H11/K11)</f>
        <v>47.1484375</v>
      </c>
      <c r="J4" s="14" t="s">
        <v>11</v>
      </c>
      <c r="K4" s="15"/>
      <c r="L4" s="9"/>
    </row>
    <row r="5" spans="1:12">
      <c r="A5" s="4" t="s">
        <v>12</v>
      </c>
      <c r="B5" s="3">
        <f xml:space="preserve"> (B4*60)/(B3*2*PI())</f>
        <v>34.104630662549006</v>
      </c>
      <c r="D5" t="s">
        <v>13</v>
      </c>
      <c r="E5" s="3">
        <f xml:space="preserve"> B5 /(B11/E11)</f>
        <v>11.033851096707032</v>
      </c>
      <c r="G5" t="s">
        <v>13</v>
      </c>
      <c r="H5" s="8">
        <f xml:space="preserve"> E5/(H11/K11)</f>
        <v>17.405511589171656</v>
      </c>
      <c r="J5" s="12" t="s">
        <v>14</v>
      </c>
      <c r="K5" s="13"/>
      <c r="L5" s="9"/>
    </row>
    <row r="6" spans="1:12">
      <c r="D6" t="s">
        <v>15</v>
      </c>
      <c r="E6" s="3">
        <f xml:space="preserve"> B5 /(B11/E12)</f>
        <v>32.098475917693179</v>
      </c>
      <c r="G6" t="s">
        <v>15</v>
      </c>
      <c r="H6" s="8">
        <f xml:space="preserve"> E6/(H11/K11)</f>
        <v>50.63421553213572</v>
      </c>
      <c r="K6" s="9"/>
      <c r="L6" s="9"/>
    </row>
    <row r="7" spans="1:12">
      <c r="K7" s="9"/>
      <c r="L7" s="18"/>
    </row>
    <row r="8" spans="1:12">
      <c r="L8" s="19"/>
    </row>
    <row r="9" spans="1:1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9"/>
    </row>
    <row r="10" spans="1:12">
      <c r="B10" s="1" t="s">
        <v>16</v>
      </c>
      <c r="E10" s="2" t="s">
        <v>17</v>
      </c>
      <c r="H10" s="1" t="s">
        <v>18</v>
      </c>
      <c r="K10" s="2" t="s">
        <v>19</v>
      </c>
      <c r="L10" s="19"/>
    </row>
    <row r="11" spans="1:12">
      <c r="A11" t="s">
        <v>20</v>
      </c>
      <c r="B11" s="5">
        <v>34</v>
      </c>
      <c r="D11" t="s">
        <v>21</v>
      </c>
      <c r="E11" s="5">
        <v>11</v>
      </c>
      <c r="G11" t="s">
        <v>22</v>
      </c>
      <c r="H11" s="6">
        <v>71</v>
      </c>
      <c r="J11" t="s">
        <v>22</v>
      </c>
      <c r="K11" s="6">
        <v>112</v>
      </c>
    </row>
    <row r="12" spans="1:12">
      <c r="D12" t="s">
        <v>23</v>
      </c>
      <c r="E12" s="5">
        <v>32</v>
      </c>
    </row>
    <row r="14" spans="1:1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2">
      <c r="A15" s="1" t="s">
        <v>24</v>
      </c>
    </row>
    <row r="16" spans="1:12">
      <c r="A16" t="s">
        <v>25</v>
      </c>
      <c r="B16" t="s">
        <v>26</v>
      </c>
    </row>
    <row r="17" spans="1:11">
      <c r="A17" t="s">
        <v>27</v>
      </c>
      <c r="B17">
        <v>112</v>
      </c>
    </row>
    <row r="18" spans="1:11">
      <c r="A18" t="s">
        <v>28</v>
      </c>
      <c r="B18">
        <v>112</v>
      </c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" t="s">
        <v>29</v>
      </c>
    </row>
    <row r="23" spans="1:11">
      <c r="A23" t="s">
        <v>30</v>
      </c>
      <c r="B23" s="7">
        <v>1000</v>
      </c>
      <c r="G23" t="s">
        <v>31</v>
      </c>
      <c r="H23" s="8">
        <f xml:space="preserve"> (PI()/2)*(B24 + B25) + 2*B23 + (B24 - B25)^2 / (4*B23)</f>
        <v>2287.8759778034664</v>
      </c>
    </row>
    <row r="24" spans="1:11">
      <c r="A24" t="s">
        <v>32</v>
      </c>
      <c r="B24" s="20">
        <f>H11</f>
        <v>71</v>
      </c>
    </row>
    <row r="25" spans="1:11">
      <c r="A25" t="s">
        <v>33</v>
      </c>
      <c r="B25" s="20">
        <f>K11</f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2026-03-26T12:31:24Z</dcterms:created>
  <dcterms:modified xsi:type="dcterms:W3CDTF">2026-03-26T13:41:54Z</dcterms:modified>
  <cp:category/>
  <cp:contentStatus/>
</cp:coreProperties>
</file>